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مخالفات" sheetId="1" state="visible" r:id="rId1"/>
    <sheet name="ملخص المخالفات" sheetId="2" state="visible" r:id="rId2"/>
    <sheet name="العقوبات النظام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CCFFCC"/>
          <b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20" customWidth="1" min="4" max="4"/>
    <col width="15" customWidth="1" min="5" max="5"/>
    <col width="35" customWidth="1" min="6" max="6"/>
    <col width="25" customWidth="1" min="7" max="7"/>
    <col width="15" customWidth="1" min="8" max="8"/>
    <col width="12" customWidth="1" min="9" max="9"/>
    <col width="15" customWidth="1" min="10" max="10"/>
  </cols>
  <sheetData>
    <row r="1">
      <c r="A1" s="1" t="inlineStr">
        <is>
          <t>سجل المخالفات والملاحظات الرقابية</t>
        </is>
      </c>
    </row>
    <row r="3">
      <c r="A3" s="2" t="inlineStr">
        <is>
          <t>م</t>
        </is>
      </c>
      <c r="B3" s="2" t="inlineStr">
        <is>
          <t>رقم المخالفة</t>
        </is>
      </c>
      <c r="C3" s="2" t="inlineStr">
        <is>
          <t>تاريخ الرصد</t>
        </is>
      </c>
      <c r="D3" s="2" t="inlineStr">
        <is>
          <t>الجهة الرقابية</t>
        </is>
      </c>
      <c r="E3" s="2" t="inlineStr">
        <is>
          <t>نوع المخالفة</t>
        </is>
      </c>
      <c r="F3" s="2" t="inlineStr">
        <is>
          <t>وصف المخالفة</t>
        </is>
      </c>
      <c r="G3" s="2" t="inlineStr">
        <is>
          <t>المادة النظامية</t>
        </is>
      </c>
      <c r="H3" s="2" t="inlineStr">
        <is>
          <t>الغرامة (ريال)</t>
        </is>
      </c>
      <c r="I3" s="2" t="inlineStr">
        <is>
          <t>الحالة</t>
        </is>
      </c>
      <c r="J3" s="2" t="inlineStr">
        <is>
          <t>تاريخ التصحيح</t>
        </is>
      </c>
    </row>
    <row r="4">
      <c r="A4" s="3" t="n">
        <v>1</v>
      </c>
      <c r="B4" s="4" t="inlineStr">
        <is>
          <t>VIO-2024-001</t>
        </is>
      </c>
      <c r="C4" s="4" t="inlineStr">
        <is>
          <t>2024-01-15</t>
        </is>
      </c>
      <c r="D4" s="4" t="inlineStr">
        <is>
          <t>هيئة الغذاء والدواء</t>
        </is>
      </c>
      <c r="E4" s="4" t="inlineStr">
        <is>
          <t>سلامة غذائية</t>
        </is>
      </c>
      <c r="F4" s="4" t="inlineStr">
        <is>
          <t>عدم وجود نظام HACCP موثق</t>
        </is>
      </c>
      <c r="G4" s="4" t="inlineStr">
        <is>
          <t>المادة 15 - نظام الغذاء</t>
        </is>
      </c>
      <c r="H4" s="4" t="n">
        <v>50000</v>
      </c>
      <c r="I4" s="4" t="inlineStr">
        <is>
          <t>قائمة</t>
        </is>
      </c>
      <c r="J4" s="4" t="inlineStr"/>
    </row>
    <row r="5">
      <c r="A5" s="3" t="n">
        <v>2</v>
      </c>
      <c r="B5" s="4" t="inlineStr">
        <is>
          <t>VIO-2024-002</t>
        </is>
      </c>
      <c r="C5" s="4" t="inlineStr">
        <is>
          <t>2024-01-15</t>
        </is>
      </c>
      <c r="D5" s="4" t="inlineStr">
        <is>
          <t>هيئة الغذاء والدواء</t>
        </is>
      </c>
      <c r="E5" s="4" t="inlineStr">
        <is>
          <t>نظافة</t>
        </is>
      </c>
      <c r="F5" s="4" t="inlineStr">
        <is>
          <t>قصور في معايير النظافة العامة</t>
        </is>
      </c>
      <c r="G5" s="4" t="inlineStr">
        <is>
          <t>المادة 12 - نظام الغذاء</t>
        </is>
      </c>
      <c r="H5" s="4" t="n">
        <v>25000</v>
      </c>
      <c r="I5" s="4" t="inlineStr">
        <is>
          <t>قائمة</t>
        </is>
      </c>
      <c r="J5" s="4" t="inlineStr"/>
    </row>
    <row r="6">
      <c r="A6" s="3" t="n">
        <v>3</v>
      </c>
      <c r="B6" s="4" t="inlineStr">
        <is>
          <t>VIO-2024-003</t>
        </is>
      </c>
      <c r="C6" s="4" t="inlineStr">
        <is>
          <t>2024-02-01</t>
        </is>
      </c>
      <c r="D6" s="4" t="inlineStr">
        <is>
          <t>وزارة الموارد البشرية</t>
        </is>
      </c>
      <c r="E6" s="4" t="inlineStr">
        <is>
          <t>عمالية</t>
        </is>
      </c>
      <c r="F6" s="4" t="inlineStr">
        <is>
          <t>عدم توثيق عقود العمل</t>
        </is>
      </c>
      <c r="G6" s="4" t="inlineStr">
        <is>
          <t>المادة 51 - نظام العمل</t>
        </is>
      </c>
      <c r="H6" s="4" t="n">
        <v>10000</v>
      </c>
      <c r="I6" s="4" t="inlineStr">
        <is>
          <t>قائمة</t>
        </is>
      </c>
      <c r="J6" s="4" t="inlineStr"/>
    </row>
    <row r="7">
      <c r="A7" s="3" t="n">
        <v>4</v>
      </c>
      <c r="B7" s="4" t="inlineStr">
        <is>
          <t>VIO-2024-004</t>
        </is>
      </c>
      <c r="C7" s="4" t="inlineStr">
        <is>
          <t>2024-02-10</t>
        </is>
      </c>
      <c r="D7" s="4" t="inlineStr">
        <is>
          <t>الدفاع المدني</t>
        </is>
      </c>
      <c r="E7" s="4" t="inlineStr">
        <is>
          <t>سلامة</t>
        </is>
      </c>
      <c r="F7" s="4" t="inlineStr">
        <is>
          <t>انتهاء صلاحية طفايات الحريق</t>
        </is>
      </c>
      <c r="G7" s="4" t="inlineStr">
        <is>
          <t>لائحة السلامة - البند 8</t>
        </is>
      </c>
      <c r="H7" s="4" t="n">
        <v>15000</v>
      </c>
      <c r="I7" s="4" t="inlineStr">
        <is>
          <t>معالجة</t>
        </is>
      </c>
      <c r="J7" s="4" t="inlineStr">
        <is>
          <t>2024-02-20</t>
        </is>
      </c>
    </row>
    <row r="8">
      <c r="A8" s="3" t="n">
        <v>5</v>
      </c>
      <c r="B8" s="4" t="inlineStr">
        <is>
          <t>VIO-2024-005</t>
        </is>
      </c>
      <c r="C8" s="4" t="inlineStr">
        <is>
          <t>2024-03-01</t>
        </is>
      </c>
      <c r="D8" s="4" t="inlineStr">
        <is>
          <t>البلدية</t>
        </is>
      </c>
      <c r="E8" s="4" t="inlineStr">
        <is>
          <t>بيئية</t>
        </is>
      </c>
      <c r="F8" s="4" t="inlineStr">
        <is>
          <t>عدم وجود عقد نظافة ساري</t>
        </is>
      </c>
      <c r="G8" s="4" t="inlineStr">
        <is>
          <t>لائحة النظافة - المادة 5</t>
        </is>
      </c>
      <c r="H8" s="4" t="n">
        <v>5000</v>
      </c>
      <c r="I8" s="4" t="inlineStr">
        <is>
          <t>قائمة</t>
        </is>
      </c>
      <c r="J8" s="4" t="inlineStr"/>
    </row>
  </sheetData>
  <mergeCells count="1">
    <mergeCell ref="A1:J1"/>
  </mergeCells>
  <conditionalFormatting sqref="I4:I100">
    <cfRule type="expression" priority="1" dxfId="0">
      <formula>$I4="قائمة"</formula>
    </cfRule>
    <cfRule type="expression" priority="2" dxfId="1">
      <formula>$I4="معالجة"</formula>
    </cfRule>
    <cfRule type="expression" priority="3" dxfId="2">
      <formula>$I4="مغلقة"</formula>
    </cfRule>
  </conditionalFormatting>
  <dataValidations count="2">
    <dataValidation sqref="I4:I100" showDropDown="0" showInputMessage="0" showErrorMessage="0" allowBlank="1" error="اختر من القائمة" prompt="اختر حالة المخالفة" type="list">
      <formula1>"قائمة,معالجة,مغلقة,متنازع عليها"</formula1>
    </dataValidation>
    <dataValidation sqref="D4:D100" showDropDown="0" showInputMessage="0" showErrorMessage="0" allowBlank="1" type="list">
      <formula1>"هيئة الغذاء والدواء,وزارة التجارة,وزارة الموارد البشرية,الدفاع المدني,البلدية,هيئة الزكاة والضريبة,الجهة البيئية"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</cols>
  <sheetData>
    <row r="1">
      <c r="A1" s="5" t="inlineStr">
        <is>
          <t>ملخص المخالفات حسب الجهة</t>
        </is>
      </c>
    </row>
    <row r="3">
      <c r="A3" s="2" t="inlineStr">
        <is>
          <t>الجهة الرقابية</t>
        </is>
      </c>
      <c r="B3" s="2" t="inlineStr">
        <is>
          <t>عدد المخالفات</t>
        </is>
      </c>
      <c r="C3" s="2" t="inlineStr">
        <is>
          <t>إجمالي الغرامات</t>
        </is>
      </c>
      <c r="D3" s="2" t="inlineStr">
        <is>
          <t>المخالفات القائمة</t>
        </is>
      </c>
    </row>
    <row r="4">
      <c r="A4" s="6" t="inlineStr">
        <is>
          <t>هيئة الغذاء والدواء</t>
        </is>
      </c>
      <c r="B4" s="6">
        <f>COUNTIF('سجل المخالفات'!D:D,A4)</f>
        <v/>
      </c>
      <c r="C4" s="6">
        <f>SUMIF('سجل المخالفات'!D:D,A4,'سجل المخالفات'!H:H)</f>
        <v/>
      </c>
      <c r="D4" s="6">
        <f>COUNTIFS('سجل المخالفات'!D:D,A4,'سجل المخالفات'!I:I,"قائمة")</f>
        <v/>
      </c>
    </row>
    <row r="5">
      <c r="A5" s="6" t="inlineStr">
        <is>
          <t>وزارة الموارد البشرية</t>
        </is>
      </c>
      <c r="B5" s="6">
        <f>COUNTIF('سجل المخالفات'!D:D,A5)</f>
        <v/>
      </c>
      <c r="C5" s="6">
        <f>SUMIF('سجل المخالفات'!D:D,A5,'سجل المخالفات'!H:H)</f>
        <v/>
      </c>
      <c r="D5" s="6">
        <f>COUNTIFS('سجل المخالفات'!D:D,A5,'سجل المخالفات'!I:I,"قائمة")</f>
        <v/>
      </c>
    </row>
    <row r="6">
      <c r="A6" s="6" t="inlineStr">
        <is>
          <t>الدفاع المدني</t>
        </is>
      </c>
      <c r="B6" s="6">
        <f>COUNTIF('سجل المخالفات'!D:D,A6)</f>
        <v/>
      </c>
      <c r="C6" s="6">
        <f>SUMIF('سجل المخالفات'!D:D,A6,'سجل المخالفات'!H:H)</f>
        <v/>
      </c>
      <c r="D6" s="6">
        <f>COUNTIFS('سجل المخالفات'!D:D,A6,'سجل المخالفات'!I:I,"قائمة")</f>
        <v/>
      </c>
    </row>
    <row r="7">
      <c r="A7" s="6" t="inlineStr">
        <is>
          <t>البلدية</t>
        </is>
      </c>
      <c r="B7" s="6">
        <f>COUNTIF('سجل المخالفات'!D:D,A7)</f>
        <v/>
      </c>
      <c r="C7" s="6">
        <f>SUMIF('سجل المخالفات'!D:D,A7,'سجل المخالفات'!H:H)</f>
        <v/>
      </c>
      <c r="D7" s="6">
        <f>COUNTIFS('سجل المخالفات'!D:D,A7,'سجل المخالفات'!I:I,"قائمة")</f>
        <v/>
      </c>
    </row>
    <row r="8">
      <c r="A8" s="6" t="n"/>
      <c r="B8" s="6" t="n"/>
      <c r="C8" s="6" t="n"/>
      <c r="D8" s="6" t="n"/>
    </row>
    <row r="9">
      <c r="A9" s="7" t="inlineStr">
        <is>
          <t>الإجمالي</t>
        </is>
      </c>
      <c r="B9" s="6">
        <f>SUM(B4:B8)</f>
        <v/>
      </c>
      <c r="C9" s="6">
        <f>SUM(C4:C8)</f>
        <v/>
      </c>
      <c r="D9" s="6">
        <f>SUM(D4:D8)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10" customWidth="1" min="5" max="5"/>
    <col width="15" customWidth="1" min="6" max="6"/>
  </cols>
  <sheetData>
    <row r="1">
      <c r="A1" s="5" t="inlineStr">
        <is>
          <t>جدول العقوبات والغرامات حسب الأنظمة السعودية</t>
        </is>
      </c>
    </row>
    <row r="3">
      <c r="A3" s="2" t="inlineStr">
        <is>
          <t>النظام</t>
        </is>
      </c>
      <c r="B3" s="2" t="inlineStr">
        <is>
          <t>المخالفة</t>
        </is>
      </c>
      <c r="C3" s="2" t="inlineStr">
        <is>
          <t>العقوبة - المرة الأولى</t>
        </is>
      </c>
      <c r="D3" s="2" t="inlineStr">
        <is>
          <t>العقوبة - التكرار</t>
        </is>
      </c>
      <c r="E3" s="2" t="inlineStr">
        <is>
          <t>الإغلاق</t>
        </is>
      </c>
      <c r="F3" s="2" t="inlineStr">
        <is>
          <t>المرجع</t>
        </is>
      </c>
    </row>
    <row r="4">
      <c r="A4" s="4" t="inlineStr">
        <is>
          <t>نظام الغذاء</t>
        </is>
      </c>
      <c r="B4" s="4" t="inlineStr">
        <is>
          <t>منتجات منتهية الصلاحية</t>
        </is>
      </c>
      <c r="C4" s="4" t="inlineStr">
        <is>
          <t>100,000 ريال</t>
        </is>
      </c>
      <c r="D4" s="4" t="inlineStr">
        <is>
          <t>500,000 ريال + إغلاق</t>
        </is>
      </c>
      <c r="E4" s="4" t="inlineStr">
        <is>
          <t>نعم</t>
        </is>
      </c>
      <c r="F4" s="4" t="inlineStr">
        <is>
          <t>المادة 23</t>
        </is>
      </c>
    </row>
    <row r="5">
      <c r="A5" s="4" t="inlineStr">
        <is>
          <t>نظام الغذاء</t>
        </is>
      </c>
      <c r="B5" s="4" t="inlineStr">
        <is>
          <t>عدم وجود ترخيص صحي</t>
        </is>
      </c>
      <c r="C5" s="4" t="inlineStr">
        <is>
          <t>50,000 ريال</t>
        </is>
      </c>
      <c r="D5" s="4" t="inlineStr">
        <is>
          <t>200,000 ريال</t>
        </is>
      </c>
      <c r="E5" s="4" t="inlineStr">
        <is>
          <t>نعم</t>
        </is>
      </c>
      <c r="F5" s="4" t="inlineStr">
        <is>
          <t>المادة 8</t>
        </is>
      </c>
    </row>
    <row r="6">
      <c r="A6" s="4" t="inlineStr">
        <is>
          <t>نظام الغذاء</t>
        </is>
      </c>
      <c r="B6" s="4" t="inlineStr">
        <is>
          <t>عدم تطبيق HACCP</t>
        </is>
      </c>
      <c r="C6" s="4" t="inlineStr">
        <is>
          <t>50,000 ريال</t>
        </is>
      </c>
      <c r="D6" s="4" t="inlineStr">
        <is>
          <t>150,000 ريال</t>
        </is>
      </c>
      <c r="E6" s="4" t="inlineStr">
        <is>
          <t>نعم</t>
        </is>
      </c>
      <c r="F6" s="4" t="inlineStr">
        <is>
          <t>المادة 15</t>
        </is>
      </c>
    </row>
    <row r="7">
      <c r="A7" s="4" t="inlineStr">
        <is>
          <t>نظام العمل</t>
        </is>
      </c>
      <c r="B7" s="4" t="inlineStr">
        <is>
          <t>عدم توثيق العقود</t>
        </is>
      </c>
      <c r="C7" s="4" t="inlineStr">
        <is>
          <t>10,000 ريال/عامل</t>
        </is>
      </c>
      <c r="D7" s="4" t="inlineStr">
        <is>
          <t>20,000 ريال/عامل</t>
        </is>
      </c>
      <c r="E7" s="4" t="inlineStr">
        <is>
          <t>لا</t>
        </is>
      </c>
      <c r="F7" s="4" t="inlineStr">
        <is>
          <t>المادة 51</t>
        </is>
      </c>
    </row>
    <row r="8">
      <c r="A8" s="4" t="inlineStr">
        <is>
          <t>نظام العمل</t>
        </is>
      </c>
      <c r="B8" s="4" t="inlineStr">
        <is>
          <t>تأخير الرواتب</t>
        </is>
      </c>
      <c r="C8" s="4" t="inlineStr">
        <is>
          <t>10,000 ريال</t>
        </is>
      </c>
      <c r="D8" s="4" t="inlineStr">
        <is>
          <t>إيقاف الخدمات</t>
        </is>
      </c>
      <c r="E8" s="4" t="inlineStr">
        <is>
          <t>لا</t>
        </is>
      </c>
      <c r="F8" s="4" t="inlineStr">
        <is>
          <t>المادة 90</t>
        </is>
      </c>
    </row>
    <row r="9">
      <c r="A9" s="4" t="inlineStr">
        <is>
          <t>نظام الشركات</t>
        </is>
      </c>
      <c r="B9" s="4" t="inlineStr">
        <is>
          <t>عدم تجديد السجل</t>
        </is>
      </c>
      <c r="C9" s="4" t="inlineStr">
        <is>
          <t>10,000 ريال</t>
        </is>
      </c>
      <c r="D9" s="4" t="inlineStr">
        <is>
          <t>50,000 ريال</t>
        </is>
      </c>
      <c r="E9" s="4" t="inlineStr">
        <is>
          <t>نعم</t>
        </is>
      </c>
      <c r="F9" s="4" t="inlineStr">
        <is>
          <t>المادة 214</t>
        </is>
      </c>
    </row>
    <row r="10">
      <c r="A10" s="4" t="inlineStr">
        <is>
          <t>الدفاع المدني</t>
        </is>
      </c>
      <c r="B10" s="4" t="inlineStr">
        <is>
          <t>عدم توفر وسائل السلامة</t>
        </is>
      </c>
      <c r="C10" s="4" t="inlineStr">
        <is>
          <t>20,000 ريال</t>
        </is>
      </c>
      <c r="D10" s="4" t="inlineStr">
        <is>
          <t>50,000 ريال + إغلاق</t>
        </is>
      </c>
      <c r="E10" s="4" t="inlineStr">
        <is>
          <t>نعم</t>
        </is>
      </c>
      <c r="F10" s="4" t="inlineStr">
        <is>
          <t>لائحة السلامة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2025-12-03T10:31:17Z</dcterms:created>
  <dcterms:modified xsi:type="dcterms:W3CDTF">2025-12-03T10:31:17Z</dcterms:modified>
</cp:coreProperties>
</file>