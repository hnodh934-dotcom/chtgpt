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حليل الفجوة" sheetId="1" state="visible" r:id="rId1"/>
    <sheet name="ملخص الفجوات" sheetId="2" state="visible" r:id="rId2"/>
    <sheet name="خطة سد الفجو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5CC"/>
          <bgColor rgb="00FFE5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2" customWidth="1" min="3" max="3"/>
    <col width="18" customWidth="1" min="4" max="4"/>
    <col width="18" customWidth="1" min="5" max="5"/>
    <col width="10" customWidth="1" min="6" max="6"/>
    <col width="12" customWidth="1" min="7" max="7"/>
    <col width="30" customWidth="1" min="8" max="8"/>
    <col width="12" customWidth="1" min="9" max="9"/>
  </cols>
  <sheetData>
    <row r="1">
      <c r="A1" s="1" t="inlineStr">
        <is>
          <t>تحليل الفجوة الشامل - الوضع الراهن vs المطلوب</t>
        </is>
      </c>
    </row>
    <row r="3">
      <c r="A3" s="2" t="inlineStr">
        <is>
          <t>م</t>
        </is>
      </c>
      <c r="B3" s="2" t="inlineStr">
        <is>
          <t>المجال</t>
        </is>
      </c>
      <c r="C3" s="2" t="inlineStr">
        <is>
          <t>المتطلب</t>
        </is>
      </c>
      <c r="D3" s="2" t="inlineStr">
        <is>
          <t>الوضع الراهن</t>
        </is>
      </c>
      <c r="E3" s="2" t="inlineStr">
        <is>
          <t>الوضع المطلوب</t>
        </is>
      </c>
      <c r="F3" s="2" t="inlineStr">
        <is>
          <t>الفجوة %</t>
        </is>
      </c>
      <c r="G3" s="2" t="inlineStr">
        <is>
          <t>الأولوية</t>
        </is>
      </c>
      <c r="H3" s="2" t="inlineStr">
        <is>
          <t>الإجراء التصحيحي</t>
        </is>
      </c>
      <c r="I3" s="2" t="inlineStr">
        <is>
          <t>المدة</t>
        </is>
      </c>
    </row>
    <row r="4">
      <c r="A4" s="3" t="n">
        <v>1</v>
      </c>
      <c r="B4" s="4" t="inlineStr">
        <is>
          <t>التراخيص</t>
        </is>
      </c>
      <c r="C4" s="4" t="inlineStr">
        <is>
          <t>السجل التجاري ساري</t>
        </is>
      </c>
      <c r="D4" s="4" t="inlineStr">
        <is>
          <t>منتهي</t>
        </is>
      </c>
      <c r="E4" s="4" t="inlineStr">
        <is>
          <t>ساري</t>
        </is>
      </c>
      <c r="F4" s="4" t="n">
        <v>100</v>
      </c>
      <c r="G4" s="4" t="inlineStr">
        <is>
          <t>حرجة</t>
        </is>
      </c>
      <c r="H4" s="4" t="inlineStr">
        <is>
          <t>تجديد فوري</t>
        </is>
      </c>
      <c r="I4" s="4" t="inlineStr">
        <is>
          <t>3 أيام</t>
        </is>
      </c>
    </row>
    <row r="5">
      <c r="A5" s="3" t="n">
        <v>2</v>
      </c>
      <c r="B5" s="4" t="inlineStr">
        <is>
          <t>التراخيص</t>
        </is>
      </c>
      <c r="C5" s="4" t="inlineStr">
        <is>
          <t>رخصة SFDA سارية</t>
        </is>
      </c>
      <c r="D5" s="4" t="inlineStr">
        <is>
          <t>موقوف</t>
        </is>
      </c>
      <c r="E5" s="4" t="inlineStr">
        <is>
          <t>ساري</t>
        </is>
      </c>
      <c r="F5" s="4" t="n">
        <v>100</v>
      </c>
      <c r="G5" s="4" t="inlineStr">
        <is>
          <t>حرجة</t>
        </is>
      </c>
      <c r="H5" s="4" t="inlineStr">
        <is>
          <t>معالجة المخالفات</t>
        </is>
      </c>
      <c r="I5" s="4" t="inlineStr">
        <is>
          <t>60 يوم</t>
        </is>
      </c>
    </row>
    <row r="6">
      <c r="A6" s="3" t="n">
        <v>3</v>
      </c>
      <c r="B6" s="4" t="inlineStr">
        <is>
          <t>سلامة الغذاء</t>
        </is>
      </c>
      <c r="C6" s="4" t="inlineStr">
        <is>
          <t>نظام HACCP موثق</t>
        </is>
      </c>
      <c r="D6" s="4" t="inlineStr">
        <is>
          <t>غير موجود</t>
        </is>
      </c>
      <c r="E6" s="4" t="inlineStr">
        <is>
          <t>مطبق ومعتمد</t>
        </is>
      </c>
      <c r="F6" s="4" t="n">
        <v>100</v>
      </c>
      <c r="G6" s="4" t="inlineStr">
        <is>
          <t>حرجة</t>
        </is>
      </c>
      <c r="H6" s="4" t="inlineStr">
        <is>
          <t>تصميم وتطبيق النظام</t>
        </is>
      </c>
      <c r="I6" s="4" t="inlineStr">
        <is>
          <t>90 يوم</t>
        </is>
      </c>
    </row>
    <row r="7">
      <c r="A7" s="3" t="n">
        <v>4</v>
      </c>
      <c r="B7" s="4" t="inlineStr">
        <is>
          <t>سلامة الغذاء</t>
        </is>
      </c>
      <c r="C7" s="4" t="inlineStr">
        <is>
          <t>تحليل المخاطر</t>
        </is>
      </c>
      <c r="D7" s="4" t="inlineStr">
        <is>
          <t>جزئي</t>
        </is>
      </c>
      <c r="E7" s="4" t="inlineStr">
        <is>
          <t>مكتمل</t>
        </is>
      </c>
      <c r="F7" s="4" t="n">
        <v>60</v>
      </c>
      <c r="G7" s="4" t="inlineStr">
        <is>
          <t>عالية</t>
        </is>
      </c>
      <c r="H7" s="4" t="inlineStr">
        <is>
          <t>استكمال التحليل</t>
        </is>
      </c>
      <c r="I7" s="4" t="inlineStr">
        <is>
          <t>30 يوم</t>
        </is>
      </c>
    </row>
    <row r="8">
      <c r="A8" s="3" t="n">
        <v>5</v>
      </c>
      <c r="B8" s="4" t="inlineStr">
        <is>
          <t>الموارد البشرية</t>
        </is>
      </c>
      <c r="C8" s="4" t="inlineStr">
        <is>
          <t>عقود موثقة</t>
        </is>
      </c>
      <c r="D8" s="4" t="inlineStr">
        <is>
          <t>70%</t>
        </is>
      </c>
      <c r="E8" s="4" t="inlineStr">
        <is>
          <t>100%</t>
        </is>
      </c>
      <c r="F8" s="4" t="n">
        <v>30</v>
      </c>
      <c r="G8" s="4" t="inlineStr">
        <is>
          <t>عالية</t>
        </is>
      </c>
      <c r="H8" s="4" t="inlineStr">
        <is>
          <t>توثيق العقود المتبقية</t>
        </is>
      </c>
      <c r="I8" s="4" t="inlineStr">
        <is>
          <t>14 يوم</t>
        </is>
      </c>
    </row>
    <row r="9">
      <c r="A9" s="3" t="n">
        <v>6</v>
      </c>
      <c r="B9" s="4" t="inlineStr">
        <is>
          <t>الموارد البشرية</t>
        </is>
      </c>
      <c r="C9" s="4" t="inlineStr">
        <is>
          <t>تدريب سلامة الغذاء</t>
        </is>
      </c>
      <c r="D9" s="4" t="inlineStr">
        <is>
          <t>30%</t>
        </is>
      </c>
      <c r="E9" s="4" t="inlineStr">
        <is>
          <t>100%</t>
        </is>
      </c>
      <c r="F9" s="4" t="n">
        <v>70</v>
      </c>
      <c r="G9" s="4" t="inlineStr">
        <is>
          <t>عالية</t>
        </is>
      </c>
      <c r="H9" s="4" t="inlineStr">
        <is>
          <t>برنامج تدريب شامل</t>
        </is>
      </c>
      <c r="I9" s="4" t="inlineStr">
        <is>
          <t>45 يوم</t>
        </is>
      </c>
    </row>
    <row r="10">
      <c r="A10" s="3" t="n">
        <v>7</v>
      </c>
      <c r="B10" s="4" t="inlineStr">
        <is>
          <t>البنية التحتية</t>
        </is>
      </c>
      <c r="C10" s="4" t="inlineStr">
        <is>
          <t>معدات سلامة</t>
        </is>
      </c>
      <c r="D10" s="4" t="inlineStr">
        <is>
          <t>60%</t>
        </is>
      </c>
      <c r="E10" s="4" t="inlineStr">
        <is>
          <t>100%</t>
        </is>
      </c>
      <c r="F10" s="4" t="n">
        <v>40</v>
      </c>
      <c r="G10" s="4" t="inlineStr">
        <is>
          <t>متوسطة</t>
        </is>
      </c>
      <c r="H10" s="4" t="inlineStr">
        <is>
          <t>شراء وصيانة</t>
        </is>
      </c>
      <c r="I10" s="4" t="inlineStr">
        <is>
          <t>30 يوم</t>
        </is>
      </c>
    </row>
    <row r="11">
      <c r="A11" s="3" t="n">
        <v>8</v>
      </c>
      <c r="B11" s="4" t="inlineStr">
        <is>
          <t>التوثيق</t>
        </is>
      </c>
      <c r="C11" s="4" t="inlineStr">
        <is>
          <t>نظام ضبط الوثائق</t>
        </is>
      </c>
      <c r="D11" s="4" t="inlineStr">
        <is>
          <t>غير موجود</t>
        </is>
      </c>
      <c r="E11" s="4" t="inlineStr">
        <is>
          <t>مطبق</t>
        </is>
      </c>
      <c r="F11" s="4" t="n">
        <v>100</v>
      </c>
      <c r="G11" s="4" t="inlineStr">
        <is>
          <t>عالية</t>
        </is>
      </c>
      <c r="H11" s="4" t="inlineStr">
        <is>
          <t>تصميم النظام</t>
        </is>
      </c>
      <c r="I11" s="4" t="inlineStr">
        <is>
          <t>30 يوم</t>
        </is>
      </c>
    </row>
    <row r="12">
      <c r="A12" s="3" t="n">
        <v>9</v>
      </c>
      <c r="B12" s="4" t="inlineStr">
        <is>
          <t>البيئة</t>
        </is>
      </c>
      <c r="C12" s="4" t="inlineStr">
        <is>
          <t>تصريح بيئي</t>
        </is>
      </c>
      <c r="D12" s="4" t="inlineStr">
        <is>
          <t>منتهي</t>
        </is>
      </c>
      <c r="E12" s="4" t="inlineStr">
        <is>
          <t>ساري</t>
        </is>
      </c>
      <c r="F12" s="4" t="n">
        <v>100</v>
      </c>
      <c r="G12" s="4" t="inlineStr">
        <is>
          <t>عالية</t>
        </is>
      </c>
      <c r="H12" s="4" t="inlineStr">
        <is>
          <t>تجديد التصريح</t>
        </is>
      </c>
      <c r="I12" s="4" t="inlineStr">
        <is>
          <t>45 يوم</t>
        </is>
      </c>
    </row>
    <row r="13">
      <c r="A13" s="3" t="n">
        <v>10</v>
      </c>
      <c r="B13" s="4" t="inlineStr">
        <is>
          <t>الجودة</t>
        </is>
      </c>
      <c r="C13" s="4" t="inlineStr">
        <is>
          <t>مختبر داخلي</t>
        </is>
      </c>
      <c r="D13" s="4" t="inlineStr">
        <is>
          <t>غير موجود</t>
        </is>
      </c>
      <c r="E13" s="4" t="inlineStr">
        <is>
          <t>معتمد</t>
        </is>
      </c>
      <c r="F13" s="4" t="n">
        <v>100</v>
      </c>
      <c r="G13" s="4" t="inlineStr">
        <is>
          <t>متوسطة</t>
        </is>
      </c>
      <c r="H13" s="4" t="inlineStr">
        <is>
          <t>إنشاء أو تعاقد</t>
        </is>
      </c>
      <c r="I13" s="4" t="inlineStr">
        <is>
          <t>90 يوم</t>
        </is>
      </c>
    </row>
  </sheetData>
  <mergeCells count="1">
    <mergeCell ref="A1:I1"/>
  </mergeCells>
  <conditionalFormatting sqref="G4:G100">
    <cfRule type="expression" priority="1" dxfId="0">
      <formula>$G4="حرجة"</formula>
    </cfRule>
    <cfRule type="expression" priority="2" dxfId="1">
      <formula>$G4="عالية"</formula>
    </cfRule>
    <cfRule type="expression" priority="3" dxfId="2">
      <formula>$G4="متوسطة"</formula>
    </cfRule>
  </conditionalFormatting>
  <conditionalFormatting sqref="F4:F100">
    <cfRule type="dataBar" priority="4">
      <dataBar>
        <cfvo type="num" val="0"/>
        <cfvo type="num" val="100"/>
        <color rgb="00FF6B6B"/>
      </dataBar>
    </cfRule>
  </conditionalFormatting>
  <dataValidations count="1">
    <dataValidation sqref="G4:G100" showDropDown="0" showInputMessage="0" showErrorMessage="0" allowBlank="1" type="list">
      <formula1>"حرجة,عالية,متوسطة,منخفضة"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ملخص الفجوات حسب المجال</t>
        </is>
      </c>
    </row>
    <row r="3">
      <c r="A3" s="2" t="inlineStr">
        <is>
          <t>المجال</t>
        </is>
      </c>
      <c r="B3" s="2" t="inlineStr">
        <is>
          <t>عدد الفجوات</t>
        </is>
      </c>
      <c r="C3" s="2" t="inlineStr">
        <is>
          <t>الفجوات الحرجة</t>
        </is>
      </c>
      <c r="D3" s="2" t="inlineStr">
        <is>
          <t>متوسط الفجوة %</t>
        </is>
      </c>
    </row>
    <row r="4">
      <c r="A4" s="6" t="inlineStr">
        <is>
          <t>التراخيص</t>
        </is>
      </c>
      <c r="B4" s="6">
        <f>COUNTIF('تحليل الفجوة'!B:B,A4)</f>
        <v/>
      </c>
      <c r="C4" s="6">
        <f>COUNTIFS('تحليل الفجوة'!B:B,A4,'تحليل الفجوة'!G:G,"حرجة")</f>
        <v/>
      </c>
      <c r="D4" s="6">
        <f>AVERAGEIF('تحليل الفجوة'!B:B,A4,'تحليل الفجوة'!F:F)</f>
        <v/>
      </c>
    </row>
    <row r="5">
      <c r="A5" s="6" t="inlineStr">
        <is>
          <t>سلامة الغذاء</t>
        </is>
      </c>
      <c r="B5" s="6">
        <f>COUNTIF('تحليل الفجوة'!B:B,A5)</f>
        <v/>
      </c>
      <c r="C5" s="6">
        <f>COUNTIFS('تحليل الفجوة'!B:B,A5,'تحليل الفجوة'!G:G,"حرجة")</f>
        <v/>
      </c>
      <c r="D5" s="6">
        <f>AVERAGEIF('تحليل الفجوة'!B:B,A5,'تحليل الفجوة'!F:F)</f>
        <v/>
      </c>
    </row>
    <row r="6">
      <c r="A6" s="6" t="inlineStr">
        <is>
          <t>الموارد البشرية</t>
        </is>
      </c>
      <c r="B6" s="6">
        <f>COUNTIF('تحليل الفجوة'!B:B,A6)</f>
        <v/>
      </c>
      <c r="C6" s="6">
        <f>COUNTIFS('تحليل الفجوة'!B:B,A6,'تحليل الفجوة'!G:G,"حرجة")</f>
        <v/>
      </c>
      <c r="D6" s="6">
        <f>AVERAGEIF('تحليل الفجوة'!B:B,A6,'تحليل الفجوة'!F:F)</f>
        <v/>
      </c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30" customWidth="1" min="4" max="4"/>
    <col width="20" customWidth="1" min="5" max="5"/>
    <col width="12" customWidth="1" min="6" max="6"/>
    <col width="18" customWidth="1" min="7" max="7"/>
    <col width="12" customWidth="1" min="8" max="8"/>
  </cols>
  <sheetData>
    <row r="1">
      <c r="A1" s="5" t="inlineStr">
        <is>
          <t>خطة سد الفجوات - الجدول الزمني</t>
        </is>
      </c>
    </row>
    <row r="3">
      <c r="A3" s="2" t="inlineStr">
        <is>
          <t>المرحلة</t>
        </is>
      </c>
      <c r="B3" s="2" t="inlineStr">
        <is>
          <t>المدة</t>
        </is>
      </c>
      <c r="C3" s="2" t="inlineStr">
        <is>
          <t>الفجوات المستهدفة</t>
        </is>
      </c>
      <c r="D3" s="2" t="inlineStr">
        <is>
          <t>الإجراءات الرئيسية</t>
        </is>
      </c>
      <c r="E3" s="2" t="inlineStr">
        <is>
          <t>المسؤول</t>
        </is>
      </c>
      <c r="F3" s="2" t="inlineStr">
        <is>
          <t>الميزانية</t>
        </is>
      </c>
      <c r="G3" s="2" t="inlineStr">
        <is>
          <t>مؤشر النجاح</t>
        </is>
      </c>
      <c r="H3" s="2" t="inlineStr">
        <is>
          <t>الحالة</t>
        </is>
      </c>
    </row>
    <row r="4">
      <c r="A4" s="4" t="inlineStr">
        <is>
          <t>الأسبوع 1-2</t>
        </is>
      </c>
      <c r="B4" s="4" t="inlineStr">
        <is>
          <t>14 يوم</t>
        </is>
      </c>
      <c r="C4" s="4" t="inlineStr">
        <is>
          <t>التراخيص الحرجة</t>
        </is>
      </c>
      <c r="D4" s="4" t="inlineStr">
        <is>
          <t>تجديد السجل + رفع الإيقاف</t>
        </is>
      </c>
      <c r="E4" s="4" t="inlineStr">
        <is>
          <t>المدير العام</t>
        </is>
      </c>
      <c r="F4" s="4" t="n">
        <v>25000</v>
      </c>
      <c r="G4" s="4" t="inlineStr">
        <is>
          <t>تراخيص سارية</t>
        </is>
      </c>
      <c r="H4" s="4" t="inlineStr">
        <is>
          <t>لم يبدأ</t>
        </is>
      </c>
    </row>
    <row r="5">
      <c r="A5" s="4" t="inlineStr">
        <is>
          <t>الأسبوع 3-4</t>
        </is>
      </c>
      <c r="B5" s="4" t="inlineStr">
        <is>
          <t>14 يوم</t>
        </is>
      </c>
      <c r="C5" s="4" t="inlineStr">
        <is>
          <t>الموارد البشرية</t>
        </is>
      </c>
      <c r="D5" s="4" t="inlineStr">
        <is>
          <t>توثيق العقود + التدريب</t>
        </is>
      </c>
      <c r="E5" s="4" t="inlineStr">
        <is>
          <t>مدير الموارد البشرية</t>
        </is>
      </c>
      <c r="F5" s="4" t="n">
        <v>15000</v>
      </c>
      <c r="G5" s="4" t="inlineStr">
        <is>
          <t>امتثال 100%</t>
        </is>
      </c>
      <c r="H5" s="4" t="inlineStr">
        <is>
          <t>لم يبدأ</t>
        </is>
      </c>
    </row>
    <row r="6">
      <c r="A6" s="4" t="inlineStr">
        <is>
          <t>الشهر 2</t>
        </is>
      </c>
      <c r="B6" s="4" t="inlineStr">
        <is>
          <t>30 يوم</t>
        </is>
      </c>
      <c r="C6" s="4" t="inlineStr">
        <is>
          <t>سلامة الغذاء</t>
        </is>
      </c>
      <c r="D6" s="4" t="inlineStr">
        <is>
          <t>تصميم نظام HACCP</t>
        </is>
      </c>
      <c r="E6" s="4" t="inlineStr">
        <is>
          <t>مدير الجودة</t>
        </is>
      </c>
      <c r="F6" s="4" t="n">
        <v>50000</v>
      </c>
      <c r="G6" s="4" t="inlineStr">
        <is>
          <t>نظام موثق</t>
        </is>
      </c>
      <c r="H6" s="4" t="inlineStr">
        <is>
          <t>لم يبدأ</t>
        </is>
      </c>
    </row>
    <row r="7">
      <c r="A7" s="4" t="inlineStr">
        <is>
          <t>الشهر 3</t>
        </is>
      </c>
      <c r="B7" s="4" t="inlineStr">
        <is>
          <t>30 يوم</t>
        </is>
      </c>
      <c r="C7" s="4" t="inlineStr">
        <is>
          <t>البنية التحتية</t>
        </is>
      </c>
      <c r="D7" s="4" t="inlineStr">
        <is>
          <t>تحديث المعدات والمرافق</t>
        </is>
      </c>
      <c r="E7" s="4" t="inlineStr">
        <is>
          <t>مدير العمليات</t>
        </is>
      </c>
      <c r="F7" s="4" t="n">
        <v>100000</v>
      </c>
      <c r="G7" s="4" t="inlineStr">
        <is>
          <t>مطابقة 100%</t>
        </is>
      </c>
      <c r="H7" s="4" t="inlineStr">
        <is>
          <t>لم يبدأ</t>
        </is>
      </c>
    </row>
  </sheetData>
  <mergeCells count="1">
    <mergeCell ref="A1:H1"/>
  </mergeCells>
  <dataValidations count="1">
    <dataValidation sqref="H4:H100" showDropDown="0" showInputMessage="0" showErrorMessage="0" allowBlank="1" type="list">
      <formula1>"لم يبدأ,قيد التنفيذ,مكتمل,متأخر"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2025-12-03T10:31:17Z</dcterms:created>
  <dcterms:modified xsi:type="dcterms:W3CDTF">2025-12-03T10:31:17Z</dcterms:modified>
</cp:coreProperties>
</file>